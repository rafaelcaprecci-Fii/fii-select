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aad166879443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sao Geral" sheetId="1" r:id="R58b5d51a28f74de5"/>
    <x:sheet xmlns:r="http://schemas.openxmlformats.org/officeDocument/2006/relationships" name="Base Manual" sheetId="2" r:id="R870a38c9f03f416d"/>
    <x:sheet xmlns:r="http://schemas.openxmlformats.org/officeDocument/2006/relationships" name="Cartao Instagram" sheetId="3" r:id="R9834977c669b42b2"/>
    <x:sheet xmlns:r="http://schemas.openxmlformats.org/officeDocument/2006/relationships" name="Premissas" sheetId="4" r:id="Rd28c80de6b54456f"/>
    <x:sheet xmlns:r="http://schemas.openxmlformats.org/officeDocument/2006/relationships" name="Checks" sheetId="5" r:id="R32e691403da34755"/>
    <x:sheet xmlns:r="http://schemas.openxmlformats.org/officeDocument/2006/relationships" name="Fontes" sheetId="6" r:id="R2d56d6ef10c040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;[Red](0.0%);-"/>
    <x:numFmt numFmtId="201" formatCode="R$ #,##0.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43B53"/>
      <x:name val="Carlito"/>
    </x:font>
    <x:font>
      <x:b/>
      <x:sz val="10"/>
      <x:color rgb="FFFFFFFF"/>
      <x:name val="Carlito"/>
    </x:font>
    <x:font>
      <x:sz val="10"/>
      <x:color rgb="FF243B53"/>
      <x:name val="Carlito"/>
    </x:font>
    <x:font>
      <x:sz val="10"/>
      <x:color rgb="FF0000FF"/>
      <x:name val="Carlito"/>
    </x:font>
    <x:font>
      <x:b/>
      <x:sz val="11"/>
      <x:color rgb="FFFFFFFF"/>
      <x:name val="Carlito"/>
    </x:font>
    <x:font>
      <x:sz val="10"/>
      <x:color rgb="FF008000"/>
      <x:name val="Carlito"/>
    </x:font>
    <x:font>
      <x:sz val="10"/>
      <x:color rgb="FF000000"/>
      <x:name val="Carlito"/>
    </x:font>
    <x:font>
      <x:b/>
      <x:sz val="11"/>
      <x:color rgb="FF0000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AF2FF"/>
      </x:patternFill>
    </x:fill>
    <x:fill>
      <x:patternFill patternType="solid">
        <x:fgColor rgb="FF0F766E"/>
      </x:patternFill>
    </x:fill>
    <x:fill>
      <x:patternFill patternType="solid">
        <x:fgColor rgb="FFFFF7CC"/>
      </x:patternFill>
    </x:fill>
  </x:fills>
  <x:borders count="1">
    <x:border/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</x:cellXfs>
  <x:cellStyles count="1">
    <x:cellStyle name="Normal" xfId="0"/>
  </x:cellStyles>
  <x:dxfs count="5">
    <x:dxf>
      <x:fill>
        <x:patternFill patternType="solid">
          <x:bgColor rgb="FFE7F6EC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FFF7CC"/>
        </x:patternFill>
      </x:fill>
    </x:dxf>
    <x:dxf>
      <x:fill>
        <x:patternFill patternType="solid">
          <x:bgColor rgb="FFE7F6EC"/>
        </x:patternFill>
      </x:fill>
    </x:dxf>
    <x:dxf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c1d3bf63f44657" /><Relationship Type="http://schemas.openxmlformats.org/officeDocument/2006/relationships/theme" Target="/xl/theme/theme1.xml" Id="Rb616813c47b44aca" /><Relationship Type="http://schemas.openxmlformats.org/officeDocument/2006/relationships/sharedStrings" Target="/xl/sharedStrings.xml" Id="Rcd5d1f3a33aa428b" /><Relationship Type="http://schemas.openxmlformats.org/officeDocument/2006/relationships/worksheet" Target="/xl/worksheets/sheet1.xml" Id="R58b5d51a28f74de5" /><Relationship Type="http://schemas.openxmlformats.org/officeDocument/2006/relationships/worksheet" Target="/xl/worksheets/sheet2.xml" Id="R870a38c9f03f416d" /><Relationship Type="http://schemas.openxmlformats.org/officeDocument/2006/relationships/worksheet" Target="/xl/worksheets/sheet3.xml" Id="R9834977c669b42b2" /><Relationship Type="http://schemas.openxmlformats.org/officeDocument/2006/relationships/worksheet" Target="/xl/worksheets/sheet4.xml" Id="Rd28c80de6b54456f" /><Relationship Type="http://schemas.openxmlformats.org/officeDocument/2006/relationships/worksheet" Target="/xl/worksheets/sheet5.xml" Id="R32e691403da34755" /><Relationship Type="http://schemas.openxmlformats.org/officeDocument/2006/relationships/worksheet" Target="/xl/worksheets/sheet6.xml" Id="R2d56d6ef10c040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4" t="str">
        <x:v>FII Select | MVP para Conteudo</x:v>
      </x:c>
    </x:row>
    <x:row r="2" ht="27" customHeight="1">
      <x:c r="A2" s="9" t="str">
        <x:v>Uma triagem simples, explicavel e manual para validar o interesse da audiencia antes da API e do site.</x:v>
      </x:c>
    </x:row>
    <x:row r="4">
      <x:c r="A4" s="13" t="str">
        <x:v>Painel rapido</x:v>
      </x:c>
      <x:c r="B4" s="13" t="str">
        <x:v>Valor</x:v>
      </x:c>
      <x:c r="D4" s="20" t="str">
        <x:v>MVP recomendado: 14 dias</x:v>
      </x:c>
      <x:c r="E4" s="20" t="str"/>
      <x:c r="F4" s="20" t="str"/>
      <x:c r="G4" s="20" t="str"/>
      <x:c r="H4" s="20" t="str"/>
    </x:row>
    <x:row r="5" ht="25" customHeight="1">
      <x:c r="A5" s="15" t="str">
        <x:v>Fundos preenchidos</x:v>
      </x:c>
      <x:c r="B5" s="15" t="n">
        <x:f>COUNTIF('Base Manual'!A5:A24,"&lt;&gt;")</x:f>
        <x:v>1</x:v>
      </x:c>
      <x:c r="D5" s="21" t="str">
        <x:v>1. Escolha 5 a 10 FIIs conhecidos e preencha a base manual.</x:v>
      </x:c>
      <x:c r="E5" s="21" t="str"/>
      <x:c r="F5" s="21" t="str"/>
      <x:c r="G5" s="21" t="str"/>
      <x:c r="H5" s="21" t="str"/>
    </x:row>
    <x:row r="6" ht="25" customHeight="1">
      <x:c r="A6" s="15" t="str">
        <x:v>Em desagio</x:v>
      </x:c>
      <x:c r="B6" s="15" t="n">
        <x:f>COUNTIF('Base Manual'!O5:O24,"DESAGIO")</x:f>
        <x:v>0</x:v>
      </x:c>
      <x:c r="D6" s="21" t="str">
        <x:v>2. Publique 3 quadros: desagio, perto do justo e agio.</x:v>
      </x:c>
      <x:c r="E6" s="21" t="str"/>
      <x:c r="F6" s="21" t="str"/>
      <x:c r="G6" s="21" t="str"/>
      <x:c r="H6" s="21" t="str"/>
    </x:row>
    <x:row r="7" ht="25" customHeight="1">
      <x:c r="A7" s="15" t="str">
        <x:v>Proximo do justo</x:v>
      </x:c>
      <x:c r="B7" s="15" t="n">
        <x:f>COUNTIF('Base Manual'!O5:O24,"PROXIMO DO JUSTO")</x:f>
        <x:v>0</x:v>
      </x:c>
      <x:c r="D7" s="21" t="str">
        <x:v>3. Explique sempre as premissas e os limites do metodo.</x:v>
      </x:c>
      <x:c r="E7" s="21" t="str"/>
      <x:c r="F7" s="21" t="str"/>
      <x:c r="G7" s="21" t="str"/>
      <x:c r="H7" s="21" t="str"/>
    </x:row>
    <x:row r="8" ht="25" customHeight="1">
      <x:c r="A8" s="15" t="str">
        <x:v>Em agio</x:v>
      </x:c>
      <x:c r="B8" s="15" t="n">
        <x:f>COUNTIF('Base Manual'!O5:O24,"AGIO")</x:f>
        <x:v>1</x:v>
      </x:c>
      <x:c r="D8" s="21" t="str">
        <x:v>4. Use enquete e comentarios para medir quais comparacoes geram interesse.</x:v>
      </x:c>
      <x:c r="E8" s="21" t="str"/>
      <x:c r="F8" s="21" t="str"/>
      <x:c r="G8" s="21" t="str"/>
      <x:c r="H8" s="21" t="str"/>
    </x:row>
    <x:row r="9" ht="25" customHeight="1">
      <x:c r="A9" s="15" t="str">
        <x:v>Status do modelo</x:v>
      </x:c>
      <x:c r="B9" s="15" t="str">
        <x:f>Checks!B10</x:f>
        <x:v>OK</x:v>
      </x:c>
      <x:c r="D9" s="21" t="str">
        <x:v>5. Registre salvamentos, compartilhamentos e pedidos de novos tickers.</x:v>
      </x:c>
      <x:c r="E9" s="21" t="str"/>
      <x:c r="F9" s="21" t="str"/>
      <x:c r="G9" s="21" t="str"/>
      <x:c r="H9" s="21" t="str"/>
    </x:row>
    <x:row r="10" ht="25" customHeight="1">
      <x:c r="D10" s="21" t="str">
        <x:v>6. So depois automatize coleta de dados e expanda o site.</x:v>
      </x:c>
      <x:c r="E10" s="21" t="str"/>
      <x:c r="F10" s="21" t="str"/>
      <x:c r="G10" s="21" t="str"/>
      <x:c r="H10" s="21" t="str"/>
    </x:row>
    <x:row r="12">
      <x:c r="A12" s="20" t="str">
        <x:v>Formula central</x:v>
      </x:c>
      <x:c r="B12" s="20" t="str"/>
      <x:c r="C12" s="20" t="str"/>
      <x:c r="D12" s="20" t="str"/>
      <x:c r="E12" s="20" t="str"/>
      <x:c r="F12" s="20" t="str"/>
      <x:c r="G12" s="20" t="str"/>
      <x:c r="H12" s="20" t="str"/>
    </x:row>
    <x:row r="13">
      <x:c r="A13" s="15" t="str">
        <x:v>D1</x:v>
      </x:c>
      <x:c r="B13" s="15" t="str">
        <x:v>Dividendo normalizado dos proximos 12 meses</x:v>
      </x:c>
      <x:c r="C13" s="15" t="str"/>
      <x:c r="D13" s="15" t="str"/>
      <x:c r="E13" s="15" t="str"/>
      <x:c r="F13" s="15" t="str"/>
      <x:c r="G13" s="15" t="str"/>
      <x:c r="H13" s="15" t="str"/>
    </x:row>
    <x:row r="14">
      <x:c r="A14" s="15" t="str">
        <x:v>k</x:v>
      </x:c>
      <x:c r="B14" s="15" t="str">
        <x:v>Retorno exigido = Selic + taxa de risco adicional</x:v>
      </x:c>
      <x:c r="C14" s="15" t="str"/>
      <x:c r="D14" s="15" t="str"/>
      <x:c r="E14" s="15" t="str"/>
      <x:c r="F14" s="15" t="str"/>
      <x:c r="G14" s="15" t="str"/>
      <x:c r="H14" s="15" t="str"/>
    </x:row>
    <x:row r="15">
      <x:c r="A15" s="15" t="str">
        <x:v>Valor justo</x:v>
      </x:c>
      <x:c r="B15" s="15" t="str">
        <x:v>D1 / (k - g)</x:v>
      </x:c>
      <x:c r="C15" s="15" t="str"/>
      <x:c r="D15" s="15" t="str"/>
      <x:c r="E15" s="15" t="str"/>
      <x:c r="F15" s="15" t="str"/>
      <x:c r="G15" s="15" t="str"/>
      <x:c r="H15" s="15" t="str"/>
    </x:row>
    <x:row r="17">
      <x:c r="A17" s="20" t="str">
        <x:v>Aviso de uso</x:v>
      </x:c>
      <x:c r="B17" s="20" t="str"/>
      <x:c r="C17" s="20" t="str"/>
      <x:c r="D17" s="20" t="str"/>
      <x:c r="E17" s="20" t="str"/>
      <x:c r="F17" s="20" t="str"/>
      <x:c r="G17" s="20" t="str"/>
      <x:c r="H17" s="20" t="str"/>
    </x:row>
    <x:row r="18" ht="27" customHeight="1">
      <x:c r="A18" s="21" t="str">
        <x:v>Este material e educacional. O metodo simplifica a realidade e nao substitui a leitura dos documentos do fundo.</x:v>
      </x:c>
      <x:c r="B18" s="21" t="str"/>
      <x:c r="C18" s="21" t="str"/>
      <x:c r="D18" s="21" t="str"/>
      <x:c r="E18" s="21" t="str"/>
      <x:c r="F18" s="21" t="str"/>
      <x:c r="G18" s="21" t="str"/>
      <x:c r="H18" s="21" t="str"/>
    </x:row>
    <x:row r="19" ht="27" customHeight="1">
      <x:c r="A19" s="21" t="str">
        <x:v>Nao trate o ranking como recomendacao de compra ou venda. Dividendos podem variar e fundos com riscos diferentes exigem premios diferentes.</x:v>
      </x:c>
      <x:c r="B19" s="21" t="str"/>
      <x:c r="C19" s="21" t="str"/>
      <x:c r="D19" s="21" t="str"/>
      <x:c r="E19" s="21" t="str"/>
      <x:c r="F19" s="21" t="str"/>
      <x:c r="G19" s="21" t="str"/>
      <x:c r="H19" s="21" t="str"/>
    </x:row>
    <x:row r="20" ht="27" customHeight="1">
      <x:c r="A20" s="21" t="str">
        <x:v>Antes de monetizar analises recorrentes ou publicar indicacoes, valide o enquadramento regulatorio com profissional especializado.</x:v>
      </x:c>
      <x:c r="B20" s="21" t="str"/>
      <x:c r="C20" s="21" t="str"/>
      <x:c r="D20" s="21" t="str"/>
      <x:c r="E20" s="21" t="str"/>
      <x:c r="F20" s="21" t="str"/>
      <x:c r="G20" s="21" t="str"/>
      <x:c r="H20" s="21" t="str"/>
    </x:row>
  </x:sheetData>
  <x:mergeCells>
    <x:mergeCell ref="A1:H1"/>
    <x:mergeCell ref="A2:H2"/>
    <x:mergeCell ref="D4:H4"/>
    <x:mergeCell ref="D5:H5"/>
    <x:mergeCell ref="D6:H6"/>
    <x:mergeCell ref="D7:H7"/>
    <x:mergeCell ref="D8:H8"/>
    <x:mergeCell ref="D9:H9"/>
    <x:mergeCell ref="D10:H10"/>
    <x:mergeCell ref="A12:H12"/>
    <x:mergeCell ref="B13:H13"/>
    <x:mergeCell ref="B14:H14"/>
    <x:mergeCell ref="B15:H15"/>
    <x:mergeCell ref="A17:H17"/>
    <x:mergeCell ref="A18:H18"/>
    <x:mergeCell ref="A19:H19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9" hidden="0" customWidth="1"/>
    <x:col min="3" max="3" width="14" hidden="0" customWidth="1"/>
    <x:col min="4" max="4" width="18" hidden="0" customWidth="1"/>
    <x:col min="5" max="5" width="15" hidden="0" customWidth="1"/>
    <x:col min="6" max="6" width="19" hidden="0" customWidth="1"/>
    <x:col min="7" max="7" width="11" hidden="0" customWidth="1"/>
    <x:col min="8" max="8" width="15" hidden="0" customWidth="1"/>
    <x:col min="9" max="9" width="14" hidden="0" customWidth="1"/>
    <x:col min="10" max="10" width="16" hidden="0" customWidth="1"/>
    <x:col min="11" max="11" width="20" hidden="0" customWidth="1"/>
    <x:col min="12" max="12" width="14" hidden="0" customWidth="1"/>
    <x:col min="13" max="13" width="15" hidden="0" customWidth="1"/>
    <x:col min="14" max="14" width="15" hidden="0" customWidth="1"/>
    <x:col min="15" max="15" width="18" hidden="0" customWidth="1"/>
    <x:col min="16" max="16" width="43" hidden="0" customWidth="1"/>
  </x:cols>
  <x:sheetData>
    <x:row r="1" ht="30" customHeight="1">
      <x:c r="A1" s="4" t="str">
        <x:v>FII Select | Base Manual de Triagem</x:v>
      </x:c>
    </x:row>
    <x:row r="2" ht="27" customHeight="1">
      <x:c r="A2" s="9" t="str">
        <x:v>Preencha os campos azuis. As colunas calculadas estimam agio ou desagio pela renda normalizada.</x:v>
      </x:c>
    </x:row>
    <x:row r="4" ht="42" customHeight="1">
      <x:c r="A4" s="13" t="str">
        <x:v>Ticker</x:v>
      </x:c>
      <x:c r="B4" s="13" t="str">
        <x:v>Segmento</x:v>
      </x:c>
      <x:c r="C4" s="13" t="str">
        <x:v>Preco atual (R$/cota)</x:v>
      </x:c>
      <x:c r="D4" s="13" t="str">
        <x:v>Dividendo medio mensal 12m (R$/cota)</x:v>
      </x:c>
      <x:c r="E4" s="13" t="str">
        <x:v>Ajuste recorrencia</x:v>
      </x:c>
      <x:c r="F4" s="13" t="str">
        <x:v>Dividendo normalizado mensal (R$/cota)</x:v>
      </x:c>
      <x:c r="G4" s="13" t="str">
        <x:v>Selic</x:v>
      </x:c>
      <x:c r="H4" s="13" t="str">
        <x:v>Taxa de risco adicional</x:v>
      </x:c>
      <x:c r="I4" s="13" t="str">
        <x:v>Crescimento g</x:v>
      </x:c>
      <x:c r="J4" s="13" t="str">
        <x:v>Retorno exigido k</x:v>
      </x:c>
      <x:c r="K4" s="13" t="str">
        <x:v>Dividendo proximos 12m D1 (R$/cota)</x:v>
      </x:c>
      <x:c r="L4" s="13" t="str">
        <x:v>Valor justo (R$/cota)</x:v>
      </x:c>
      <x:c r="M4" s="13" t="str">
        <x:v>Agio / (desagio)</x:v>
      </x:c>
      <x:c r="N4" s="13" t="str">
        <x:v>Retorno implicito</x:v>
      </x:c>
      <x:c r="O4" s="13" t="str">
        <x:v>Leitura</x:v>
      </x:c>
      <x:c r="P4" s="13" t="str">
        <x:v>Fonte / nota</x:v>
      </x:c>
    </x:row>
    <x:row r="5">
      <x:c r="A5" s="16" t="str">
        <x:v>DEMO11</x:v>
      </x:c>
      <x:c r="B5" s="16" t="str">
        <x:v>Exemplo ficticio</x:v>
      </x:c>
      <x:c r="C5" s="24" t="n">
        <x:v>100</x:v>
      </x:c>
      <x:c r="D5" s="24" t="n">
        <x:v>1.05</x:v>
      </x:c>
      <x:c r="E5" s="16" t="n">
        <x:v>0.95</x:v>
      </x:c>
      <x:c r="F5" s="25" t="n">
        <x:f>IF(A5="","",ROUND(D5*E5,4))</x:f>
        <x:v>0.9975</x:v>
      </x:c>
      <x:c r="G5" s="26" t="n">
        <x:f>IF(A5="","",Premissas!$B$5)</x:f>
        <x:v>0.145</x:v>
      </x:c>
      <x:c r="H5" s="17" t="n">
        <x:v>0.025</x:v>
      </x:c>
      <x:c r="I5" s="17" t="n">
        <x:v>0.03</x:v>
      </x:c>
      <x:c r="J5" s="27" t="n">
        <x:f>IF(A5="","",G5+H5)</x:f>
        <x:v>0.16999999999999998</x:v>
      </x:c>
      <x:c r="K5" s="28" t="n">
        <x:f>IF(A5="","",ROUND(F5*12*(1+I5),4))</x:f>
        <x:v>12.3291</x:v>
      </x:c>
      <x:c r="L5" s="28" t="n">
        <x:f>IF(A5="","",IF(J5&lt;=I5,"REVISAR",ROUND(K5/(J5-I5),2)))</x:f>
        <x:v>88.07</x:v>
      </x:c>
      <x:c r="M5" s="27" t="n">
        <x:f>IF(OR(A5="",NOT(ISNUMBER(L5))),"",ROUND(C5/L5-1,4))</x:f>
        <x:v>0.1355</x:v>
      </x:c>
      <x:c r="N5" s="27" t="n">
        <x:f>IF(A5="","",ROUND(K5/C5+I5,4))</x:f>
        <x:v>0.1533</x:v>
      </x:c>
      <x:c r="O5" s="29" t="str">
        <x:f>IF(M5="","",IF(M5&lt;Premissas!$B$9,"DESAGIO",IF(M5&gt;Premissas!$B$10,"AGIO","PROXIMO DO JUSTO")))</x:f>
        <x:v>AGIO</x:v>
      </x:c>
      <x:c r="P5" s="16" t="str">
        <x:v>Exemplo didatico. Substituir antes de publicar.</x:v>
      </x:c>
    </x:row>
    <x:row r="6">
      <x:c r="A6" s="16"/>
      <x:c r="B6" s="16"/>
      <x:c r="C6" s="24"/>
      <x:c r="D6" s="24"/>
      <x:c r="E6" s="16"/>
      <x:c r="F6" s="25" t="str">
        <x:f>IF(A6="","",ROUND(D6*E6,4))</x:f>
      </x:c>
      <x:c r="G6" s="26" t="str">
        <x:f>IF(A6="","",Premissas!$B$5)</x:f>
      </x:c>
      <x:c r="H6" s="17"/>
      <x:c r="I6" s="17"/>
      <x:c r="J6" s="27" t="str">
        <x:f>IF(A6="","",G6+H6)</x:f>
      </x:c>
      <x:c r="K6" s="28" t="str">
        <x:f>IF(A6="","",ROUND(F6*12*(1+I6),4))</x:f>
      </x:c>
      <x:c r="L6" s="28" t="str">
        <x:f>IF(A6="","",IF(J6&lt;=I6,"REVISAR",ROUND(K6/(J6-I6),2)))</x:f>
      </x:c>
      <x:c r="M6" s="27" t="str">
        <x:f>IF(OR(A6="",NOT(ISNUMBER(L6))),"",ROUND(C6/L6-1,4))</x:f>
      </x:c>
      <x:c r="N6" s="27" t="str">
        <x:f>IF(A6="","",ROUND(K6/C6+I6,4))</x:f>
      </x:c>
      <x:c r="O6" s="29" t="str">
        <x:f>IF(M6="","",IF(M6&lt;Premissas!$B$9,"DESAGIO",IF(M6&gt;Premissas!$B$10,"AGIO","PROXIMO DO JUSTO")))</x:f>
      </x:c>
      <x:c r="P6" s="16"/>
    </x:row>
    <x:row r="7">
      <x:c r="A7" s="16"/>
      <x:c r="B7" s="16"/>
      <x:c r="C7" s="24"/>
      <x:c r="D7" s="24"/>
      <x:c r="E7" s="16"/>
      <x:c r="F7" s="25" t="str">
        <x:f>IF(A7="","",ROUND(D7*E7,4))</x:f>
      </x:c>
      <x:c r="G7" s="26" t="str">
        <x:f>IF(A7="","",Premissas!$B$5)</x:f>
      </x:c>
      <x:c r="H7" s="17"/>
      <x:c r="I7" s="17"/>
      <x:c r="J7" s="27" t="str">
        <x:f>IF(A7="","",G7+H7)</x:f>
      </x:c>
      <x:c r="K7" s="28" t="str">
        <x:f>IF(A7="","",ROUND(F7*12*(1+I7),4))</x:f>
      </x:c>
      <x:c r="L7" s="28" t="str">
        <x:f>IF(A7="","",IF(J7&lt;=I7,"REVISAR",ROUND(K7/(J7-I7),2)))</x:f>
      </x:c>
      <x:c r="M7" s="27" t="str">
        <x:f>IF(OR(A7="",NOT(ISNUMBER(L7))),"",ROUND(C7/L7-1,4))</x:f>
      </x:c>
      <x:c r="N7" s="27" t="str">
        <x:f>IF(A7="","",ROUND(K7/C7+I7,4))</x:f>
      </x:c>
      <x:c r="O7" s="29" t="str">
        <x:f>IF(M7="","",IF(M7&lt;Premissas!$B$9,"DESAGIO",IF(M7&gt;Premissas!$B$10,"AGIO","PROXIMO DO JUSTO")))</x:f>
      </x:c>
      <x:c r="P7" s="16"/>
    </x:row>
    <x:row r="8">
      <x:c r="A8" s="16"/>
      <x:c r="B8" s="16"/>
      <x:c r="C8" s="24"/>
      <x:c r="D8" s="24"/>
      <x:c r="E8" s="16"/>
      <x:c r="F8" s="25" t="str">
        <x:f>IF(A8="","",ROUND(D8*E8,4))</x:f>
      </x:c>
      <x:c r="G8" s="26" t="str">
        <x:f>IF(A8="","",Premissas!$B$5)</x:f>
      </x:c>
      <x:c r="H8" s="17"/>
      <x:c r="I8" s="17"/>
      <x:c r="J8" s="27" t="str">
        <x:f>IF(A8="","",G8+H8)</x:f>
      </x:c>
      <x:c r="K8" s="28" t="str">
        <x:f>IF(A8="","",ROUND(F8*12*(1+I8),4))</x:f>
      </x:c>
      <x:c r="L8" s="28" t="str">
        <x:f>IF(A8="","",IF(J8&lt;=I8,"REVISAR",ROUND(K8/(J8-I8),2)))</x:f>
      </x:c>
      <x:c r="M8" s="27" t="str">
        <x:f>IF(OR(A8="",NOT(ISNUMBER(L8))),"",ROUND(C8/L8-1,4))</x:f>
      </x:c>
      <x:c r="N8" s="27" t="str">
        <x:f>IF(A8="","",ROUND(K8/C8+I8,4))</x:f>
      </x:c>
      <x:c r="O8" s="29" t="str">
        <x:f>IF(M8="","",IF(M8&lt;Premissas!$B$9,"DESAGIO",IF(M8&gt;Premissas!$B$10,"AGIO","PROXIMO DO JUSTO")))</x:f>
      </x:c>
      <x:c r="P8" s="16"/>
    </x:row>
    <x:row r="9">
      <x:c r="A9" s="16"/>
      <x:c r="B9" s="16"/>
      <x:c r="C9" s="24"/>
      <x:c r="D9" s="24"/>
      <x:c r="E9" s="16"/>
      <x:c r="F9" s="25" t="str">
        <x:f>IF(A9="","",ROUND(D9*E9,4))</x:f>
      </x:c>
      <x:c r="G9" s="26" t="str">
        <x:f>IF(A9="","",Premissas!$B$5)</x:f>
      </x:c>
      <x:c r="H9" s="17"/>
      <x:c r="I9" s="17"/>
      <x:c r="J9" s="27" t="str">
        <x:f>IF(A9="","",G9+H9)</x:f>
      </x:c>
      <x:c r="K9" s="28" t="str">
        <x:f>IF(A9="","",ROUND(F9*12*(1+I9),4))</x:f>
      </x:c>
      <x:c r="L9" s="28" t="str">
        <x:f>IF(A9="","",IF(J9&lt;=I9,"REVISAR",ROUND(K9/(J9-I9),2)))</x:f>
      </x:c>
      <x:c r="M9" s="27" t="str">
        <x:f>IF(OR(A9="",NOT(ISNUMBER(L9))),"",ROUND(C9/L9-1,4))</x:f>
      </x:c>
      <x:c r="N9" s="27" t="str">
        <x:f>IF(A9="","",ROUND(K9/C9+I9,4))</x:f>
      </x:c>
      <x:c r="O9" s="29" t="str">
        <x:f>IF(M9="","",IF(M9&lt;Premissas!$B$9,"DESAGIO",IF(M9&gt;Premissas!$B$10,"AGIO","PROXIMO DO JUSTO")))</x:f>
      </x:c>
      <x:c r="P9" s="16"/>
    </x:row>
    <x:row r="10">
      <x:c r="A10" s="16"/>
      <x:c r="B10" s="16"/>
      <x:c r="C10" s="24"/>
      <x:c r="D10" s="24"/>
      <x:c r="E10" s="16"/>
      <x:c r="F10" s="25" t="str">
        <x:f>IF(A10="","",ROUND(D10*E10,4))</x:f>
      </x:c>
      <x:c r="G10" s="26" t="str">
        <x:f>IF(A10="","",Premissas!$B$5)</x:f>
      </x:c>
      <x:c r="H10" s="17"/>
      <x:c r="I10" s="17"/>
      <x:c r="J10" s="27" t="str">
        <x:f>IF(A10="","",G10+H10)</x:f>
      </x:c>
      <x:c r="K10" s="28" t="str">
        <x:f>IF(A10="","",ROUND(F10*12*(1+I10),4))</x:f>
      </x:c>
      <x:c r="L10" s="28" t="str">
        <x:f>IF(A10="","",IF(J10&lt;=I10,"REVISAR",ROUND(K10/(J10-I10),2)))</x:f>
      </x:c>
      <x:c r="M10" s="27" t="str">
        <x:f>IF(OR(A10="",NOT(ISNUMBER(L10))),"",ROUND(C10/L10-1,4))</x:f>
      </x:c>
      <x:c r="N10" s="27" t="str">
        <x:f>IF(A10="","",ROUND(K10/C10+I10,4))</x:f>
      </x:c>
      <x:c r="O10" s="29" t="str">
        <x:f>IF(M10="","",IF(M10&lt;Premissas!$B$9,"DESAGIO",IF(M10&gt;Premissas!$B$10,"AGIO","PROXIMO DO JUSTO")))</x:f>
      </x:c>
      <x:c r="P10" s="16"/>
    </x:row>
    <x:row r="11">
      <x:c r="A11" s="16"/>
      <x:c r="B11" s="16"/>
      <x:c r="C11" s="24"/>
      <x:c r="D11" s="24"/>
      <x:c r="E11" s="16"/>
      <x:c r="F11" s="25" t="str">
        <x:f>IF(A11="","",ROUND(D11*E11,4))</x:f>
      </x:c>
      <x:c r="G11" s="26" t="str">
        <x:f>IF(A11="","",Premissas!$B$5)</x:f>
      </x:c>
      <x:c r="H11" s="17"/>
      <x:c r="I11" s="17"/>
      <x:c r="J11" s="27" t="str">
        <x:f>IF(A11="","",G11+H11)</x:f>
      </x:c>
      <x:c r="K11" s="28" t="str">
        <x:f>IF(A11="","",ROUND(F11*12*(1+I11),4))</x:f>
      </x:c>
      <x:c r="L11" s="28" t="str">
        <x:f>IF(A11="","",IF(J11&lt;=I11,"REVISAR",ROUND(K11/(J11-I11),2)))</x:f>
      </x:c>
      <x:c r="M11" s="27" t="str">
        <x:f>IF(OR(A11="",NOT(ISNUMBER(L11))),"",ROUND(C11/L11-1,4))</x:f>
      </x:c>
      <x:c r="N11" s="27" t="str">
        <x:f>IF(A11="","",ROUND(K11/C11+I11,4))</x:f>
      </x:c>
      <x:c r="O11" s="29" t="str">
        <x:f>IF(M11="","",IF(M11&lt;Premissas!$B$9,"DESAGIO",IF(M11&gt;Premissas!$B$10,"AGIO","PROXIMO DO JUSTO")))</x:f>
      </x:c>
      <x:c r="P11" s="16"/>
    </x:row>
    <x:row r="12">
      <x:c r="A12" s="16"/>
      <x:c r="B12" s="16"/>
      <x:c r="C12" s="24"/>
      <x:c r="D12" s="24"/>
      <x:c r="E12" s="16"/>
      <x:c r="F12" s="25" t="str">
        <x:f>IF(A12="","",ROUND(D12*E12,4))</x:f>
      </x:c>
      <x:c r="G12" s="26" t="str">
        <x:f>IF(A12="","",Premissas!$B$5)</x:f>
      </x:c>
      <x:c r="H12" s="17"/>
      <x:c r="I12" s="17"/>
      <x:c r="J12" s="27" t="str">
        <x:f>IF(A12="","",G12+H12)</x:f>
      </x:c>
      <x:c r="K12" s="28" t="str">
        <x:f>IF(A12="","",ROUND(F12*12*(1+I12),4))</x:f>
      </x:c>
      <x:c r="L12" s="28" t="str">
        <x:f>IF(A12="","",IF(J12&lt;=I12,"REVISAR",ROUND(K12/(J12-I12),2)))</x:f>
      </x:c>
      <x:c r="M12" s="27" t="str">
        <x:f>IF(OR(A12="",NOT(ISNUMBER(L12))),"",ROUND(C12/L12-1,4))</x:f>
      </x:c>
      <x:c r="N12" s="27" t="str">
        <x:f>IF(A12="","",ROUND(K12/C12+I12,4))</x:f>
      </x:c>
      <x:c r="O12" s="29" t="str">
        <x:f>IF(M12="","",IF(M12&lt;Premissas!$B$9,"DESAGIO",IF(M12&gt;Premissas!$B$10,"AGIO","PROXIMO DO JUSTO")))</x:f>
      </x:c>
      <x:c r="P12" s="16"/>
    </x:row>
    <x:row r="13">
      <x:c r="A13" s="16"/>
      <x:c r="B13" s="16"/>
      <x:c r="C13" s="24"/>
      <x:c r="D13" s="24"/>
      <x:c r="E13" s="16"/>
      <x:c r="F13" s="25" t="str">
        <x:f>IF(A13="","",ROUND(D13*E13,4))</x:f>
      </x:c>
      <x:c r="G13" s="26" t="str">
        <x:f>IF(A13="","",Premissas!$B$5)</x:f>
      </x:c>
      <x:c r="H13" s="17"/>
      <x:c r="I13" s="17"/>
      <x:c r="J13" s="27" t="str">
        <x:f>IF(A13="","",G13+H13)</x:f>
      </x:c>
      <x:c r="K13" s="28" t="str">
        <x:f>IF(A13="","",ROUND(F13*12*(1+I13),4))</x:f>
      </x:c>
      <x:c r="L13" s="28" t="str">
        <x:f>IF(A13="","",IF(J13&lt;=I13,"REVISAR",ROUND(K13/(J13-I13),2)))</x:f>
      </x:c>
      <x:c r="M13" s="27" t="str">
        <x:f>IF(OR(A13="",NOT(ISNUMBER(L13))),"",ROUND(C13/L13-1,4))</x:f>
      </x:c>
      <x:c r="N13" s="27" t="str">
        <x:f>IF(A13="","",ROUND(K13/C13+I13,4))</x:f>
      </x:c>
      <x:c r="O13" s="29" t="str">
        <x:f>IF(M13="","",IF(M13&lt;Premissas!$B$9,"DESAGIO",IF(M13&gt;Premissas!$B$10,"AGIO","PROXIMO DO JUSTO")))</x:f>
      </x:c>
      <x:c r="P13" s="16"/>
    </x:row>
    <x:row r="14">
      <x:c r="A14" s="16"/>
      <x:c r="B14" s="16"/>
      <x:c r="C14" s="24"/>
      <x:c r="D14" s="24"/>
      <x:c r="E14" s="16"/>
      <x:c r="F14" s="25" t="str">
        <x:f>IF(A14="","",ROUND(D14*E14,4))</x:f>
      </x:c>
      <x:c r="G14" s="26" t="str">
        <x:f>IF(A14="","",Premissas!$B$5)</x:f>
      </x:c>
      <x:c r="H14" s="17"/>
      <x:c r="I14" s="17"/>
      <x:c r="J14" s="27" t="str">
        <x:f>IF(A14="","",G14+H14)</x:f>
      </x:c>
      <x:c r="K14" s="28" t="str">
        <x:f>IF(A14="","",ROUND(F14*12*(1+I14),4))</x:f>
      </x:c>
      <x:c r="L14" s="28" t="str">
        <x:f>IF(A14="","",IF(J14&lt;=I14,"REVISAR",ROUND(K14/(J14-I14),2)))</x:f>
      </x:c>
      <x:c r="M14" s="27" t="str">
        <x:f>IF(OR(A14="",NOT(ISNUMBER(L14))),"",ROUND(C14/L14-1,4))</x:f>
      </x:c>
      <x:c r="N14" s="27" t="str">
        <x:f>IF(A14="","",ROUND(K14/C14+I14,4))</x:f>
      </x:c>
      <x:c r="O14" s="29" t="str">
        <x:f>IF(M14="","",IF(M14&lt;Premissas!$B$9,"DESAGIO",IF(M14&gt;Premissas!$B$10,"AGIO","PROXIMO DO JUSTO")))</x:f>
      </x:c>
      <x:c r="P14" s="16"/>
    </x:row>
    <x:row r="15">
      <x:c r="A15" s="16"/>
      <x:c r="B15" s="16"/>
      <x:c r="C15" s="24"/>
      <x:c r="D15" s="24"/>
      <x:c r="E15" s="16"/>
      <x:c r="F15" s="25" t="str">
        <x:f>IF(A15="","",ROUND(D15*E15,4))</x:f>
      </x:c>
      <x:c r="G15" s="26" t="str">
        <x:f>IF(A15="","",Premissas!$B$5)</x:f>
      </x:c>
      <x:c r="H15" s="17"/>
      <x:c r="I15" s="17"/>
      <x:c r="J15" s="27" t="str">
        <x:f>IF(A15="","",G15+H15)</x:f>
      </x:c>
      <x:c r="K15" s="28" t="str">
        <x:f>IF(A15="","",ROUND(F15*12*(1+I15),4))</x:f>
      </x:c>
      <x:c r="L15" s="28" t="str">
        <x:f>IF(A15="","",IF(J15&lt;=I15,"REVISAR",ROUND(K15/(J15-I15),2)))</x:f>
      </x:c>
      <x:c r="M15" s="27" t="str">
        <x:f>IF(OR(A15="",NOT(ISNUMBER(L15))),"",ROUND(C15/L15-1,4))</x:f>
      </x:c>
      <x:c r="N15" s="27" t="str">
        <x:f>IF(A15="","",ROUND(K15/C15+I15,4))</x:f>
      </x:c>
      <x:c r="O15" s="29" t="str">
        <x:f>IF(M15="","",IF(M15&lt;Premissas!$B$9,"DESAGIO",IF(M15&gt;Premissas!$B$10,"AGIO","PROXIMO DO JUSTO")))</x:f>
      </x:c>
      <x:c r="P15" s="16"/>
    </x:row>
    <x:row r="16">
      <x:c r="A16" s="16"/>
      <x:c r="B16" s="16"/>
      <x:c r="C16" s="24"/>
      <x:c r="D16" s="24"/>
      <x:c r="E16" s="16"/>
      <x:c r="F16" s="25" t="str">
        <x:f>IF(A16="","",ROUND(D16*E16,4))</x:f>
      </x:c>
      <x:c r="G16" s="26" t="str">
        <x:f>IF(A16="","",Premissas!$B$5)</x:f>
      </x:c>
      <x:c r="H16" s="17"/>
      <x:c r="I16" s="17"/>
      <x:c r="J16" s="27" t="str">
        <x:f>IF(A16="","",G16+H16)</x:f>
      </x:c>
      <x:c r="K16" s="28" t="str">
        <x:f>IF(A16="","",ROUND(F16*12*(1+I16),4))</x:f>
      </x:c>
      <x:c r="L16" s="28" t="str">
        <x:f>IF(A16="","",IF(J16&lt;=I16,"REVISAR",ROUND(K16/(J16-I16),2)))</x:f>
      </x:c>
      <x:c r="M16" s="27" t="str">
        <x:f>IF(OR(A16="",NOT(ISNUMBER(L16))),"",ROUND(C16/L16-1,4))</x:f>
      </x:c>
      <x:c r="N16" s="27" t="str">
        <x:f>IF(A16="","",ROUND(K16/C16+I16,4))</x:f>
      </x:c>
      <x:c r="O16" s="29" t="str">
        <x:f>IF(M16="","",IF(M16&lt;Premissas!$B$9,"DESAGIO",IF(M16&gt;Premissas!$B$10,"AGIO","PROXIMO DO JUSTO")))</x:f>
      </x:c>
      <x:c r="P16" s="16"/>
    </x:row>
    <x:row r="17">
      <x:c r="A17" s="16"/>
      <x:c r="B17" s="16"/>
      <x:c r="C17" s="24"/>
      <x:c r="D17" s="24"/>
      <x:c r="E17" s="16"/>
      <x:c r="F17" s="25" t="str">
        <x:f>IF(A17="","",ROUND(D17*E17,4))</x:f>
      </x:c>
      <x:c r="G17" s="26" t="str">
        <x:f>IF(A17="","",Premissas!$B$5)</x:f>
      </x:c>
      <x:c r="H17" s="17"/>
      <x:c r="I17" s="17"/>
      <x:c r="J17" s="27" t="str">
        <x:f>IF(A17="","",G17+H17)</x:f>
      </x:c>
      <x:c r="K17" s="28" t="str">
        <x:f>IF(A17="","",ROUND(F17*12*(1+I17),4))</x:f>
      </x:c>
      <x:c r="L17" s="28" t="str">
        <x:f>IF(A17="","",IF(J17&lt;=I17,"REVISAR",ROUND(K17/(J17-I17),2)))</x:f>
      </x:c>
      <x:c r="M17" s="27" t="str">
        <x:f>IF(OR(A17="",NOT(ISNUMBER(L17))),"",ROUND(C17/L17-1,4))</x:f>
      </x:c>
      <x:c r="N17" s="27" t="str">
        <x:f>IF(A17="","",ROUND(K17/C17+I17,4))</x:f>
      </x:c>
      <x:c r="O17" s="29" t="str">
        <x:f>IF(M17="","",IF(M17&lt;Premissas!$B$9,"DESAGIO",IF(M17&gt;Premissas!$B$10,"AGIO","PROXIMO DO JUSTO")))</x:f>
      </x:c>
      <x:c r="P17" s="16"/>
    </x:row>
    <x:row r="18">
      <x:c r="A18" s="16"/>
      <x:c r="B18" s="16"/>
      <x:c r="C18" s="24"/>
      <x:c r="D18" s="24"/>
      <x:c r="E18" s="16"/>
      <x:c r="F18" s="25" t="str">
        <x:f>IF(A18="","",ROUND(D18*E18,4))</x:f>
      </x:c>
      <x:c r="G18" s="26" t="str">
        <x:f>IF(A18="","",Premissas!$B$5)</x:f>
      </x:c>
      <x:c r="H18" s="17"/>
      <x:c r="I18" s="17"/>
      <x:c r="J18" s="27" t="str">
        <x:f>IF(A18="","",G18+H18)</x:f>
      </x:c>
      <x:c r="K18" s="28" t="str">
        <x:f>IF(A18="","",ROUND(F18*12*(1+I18),4))</x:f>
      </x:c>
      <x:c r="L18" s="28" t="str">
        <x:f>IF(A18="","",IF(J18&lt;=I18,"REVISAR",ROUND(K18/(J18-I18),2)))</x:f>
      </x:c>
      <x:c r="M18" s="27" t="str">
        <x:f>IF(OR(A18="",NOT(ISNUMBER(L18))),"",ROUND(C18/L18-1,4))</x:f>
      </x:c>
      <x:c r="N18" s="27" t="str">
        <x:f>IF(A18="","",ROUND(K18/C18+I18,4))</x:f>
      </x:c>
      <x:c r="O18" s="29" t="str">
        <x:f>IF(M18="","",IF(M18&lt;Premissas!$B$9,"DESAGIO",IF(M18&gt;Premissas!$B$10,"AGIO","PROXIMO DO JUSTO")))</x:f>
      </x:c>
      <x:c r="P18" s="16"/>
    </x:row>
    <x:row r="19">
      <x:c r="A19" s="16"/>
      <x:c r="B19" s="16"/>
      <x:c r="C19" s="24"/>
      <x:c r="D19" s="24"/>
      <x:c r="E19" s="16"/>
      <x:c r="F19" s="25" t="str">
        <x:f>IF(A19="","",ROUND(D19*E19,4))</x:f>
      </x:c>
      <x:c r="G19" s="26" t="str">
        <x:f>IF(A19="","",Premissas!$B$5)</x:f>
      </x:c>
      <x:c r="H19" s="17"/>
      <x:c r="I19" s="17"/>
      <x:c r="J19" s="27" t="str">
        <x:f>IF(A19="","",G19+H19)</x:f>
      </x:c>
      <x:c r="K19" s="28" t="str">
        <x:f>IF(A19="","",ROUND(F19*12*(1+I19),4))</x:f>
      </x:c>
      <x:c r="L19" s="28" t="str">
        <x:f>IF(A19="","",IF(J19&lt;=I19,"REVISAR",ROUND(K19/(J19-I19),2)))</x:f>
      </x:c>
      <x:c r="M19" s="27" t="str">
        <x:f>IF(OR(A19="",NOT(ISNUMBER(L19))),"",ROUND(C19/L19-1,4))</x:f>
      </x:c>
      <x:c r="N19" s="27" t="str">
        <x:f>IF(A19="","",ROUND(K19/C19+I19,4))</x:f>
      </x:c>
      <x:c r="O19" s="29" t="str">
        <x:f>IF(M19="","",IF(M19&lt;Premissas!$B$9,"DESAGIO",IF(M19&gt;Premissas!$B$10,"AGIO","PROXIMO DO JUSTO")))</x:f>
      </x:c>
      <x:c r="P19" s="16"/>
    </x:row>
    <x:row r="20">
      <x:c r="A20" s="16"/>
      <x:c r="B20" s="16"/>
      <x:c r="C20" s="24"/>
      <x:c r="D20" s="24"/>
      <x:c r="E20" s="16"/>
      <x:c r="F20" s="25" t="str">
        <x:f>IF(A20="","",ROUND(D20*E20,4))</x:f>
      </x:c>
      <x:c r="G20" s="26" t="str">
        <x:f>IF(A20="","",Premissas!$B$5)</x:f>
      </x:c>
      <x:c r="H20" s="17"/>
      <x:c r="I20" s="17"/>
      <x:c r="J20" s="27" t="str">
        <x:f>IF(A20="","",G20+H20)</x:f>
      </x:c>
      <x:c r="K20" s="28" t="str">
        <x:f>IF(A20="","",ROUND(F20*12*(1+I20),4))</x:f>
      </x:c>
      <x:c r="L20" s="28" t="str">
        <x:f>IF(A20="","",IF(J20&lt;=I20,"REVISAR",ROUND(K20/(J20-I20),2)))</x:f>
      </x:c>
      <x:c r="M20" s="27" t="str">
        <x:f>IF(OR(A20="",NOT(ISNUMBER(L20))),"",ROUND(C20/L20-1,4))</x:f>
      </x:c>
      <x:c r="N20" s="27" t="str">
        <x:f>IF(A20="","",ROUND(K20/C20+I20,4))</x:f>
      </x:c>
      <x:c r="O20" s="29" t="str">
        <x:f>IF(M20="","",IF(M20&lt;Premissas!$B$9,"DESAGIO",IF(M20&gt;Premissas!$B$10,"AGIO","PROXIMO DO JUSTO")))</x:f>
      </x:c>
      <x:c r="P20" s="16"/>
    </x:row>
    <x:row r="21">
      <x:c r="A21" s="16"/>
      <x:c r="B21" s="16"/>
      <x:c r="C21" s="24"/>
      <x:c r="D21" s="24"/>
      <x:c r="E21" s="16"/>
      <x:c r="F21" s="25" t="str">
        <x:f>IF(A21="","",ROUND(D21*E21,4))</x:f>
      </x:c>
      <x:c r="G21" s="26" t="str">
        <x:f>IF(A21="","",Premissas!$B$5)</x:f>
      </x:c>
      <x:c r="H21" s="17"/>
      <x:c r="I21" s="17"/>
      <x:c r="J21" s="27" t="str">
        <x:f>IF(A21="","",G21+H21)</x:f>
      </x:c>
      <x:c r="K21" s="28" t="str">
        <x:f>IF(A21="","",ROUND(F21*12*(1+I21),4))</x:f>
      </x:c>
      <x:c r="L21" s="28" t="str">
        <x:f>IF(A21="","",IF(J21&lt;=I21,"REVISAR",ROUND(K21/(J21-I21),2)))</x:f>
      </x:c>
      <x:c r="M21" s="27" t="str">
        <x:f>IF(OR(A21="",NOT(ISNUMBER(L21))),"",ROUND(C21/L21-1,4))</x:f>
      </x:c>
      <x:c r="N21" s="27" t="str">
        <x:f>IF(A21="","",ROUND(K21/C21+I21,4))</x:f>
      </x:c>
      <x:c r="O21" s="29" t="str">
        <x:f>IF(M21="","",IF(M21&lt;Premissas!$B$9,"DESAGIO",IF(M21&gt;Premissas!$B$10,"AGIO","PROXIMO DO JUSTO")))</x:f>
      </x:c>
      <x:c r="P21" s="16"/>
    </x:row>
    <x:row r="22">
      <x:c r="A22" s="16"/>
      <x:c r="B22" s="16"/>
      <x:c r="C22" s="24"/>
      <x:c r="D22" s="24"/>
      <x:c r="E22" s="16"/>
      <x:c r="F22" s="25" t="str">
        <x:f>IF(A22="","",ROUND(D22*E22,4))</x:f>
      </x:c>
      <x:c r="G22" s="26" t="str">
        <x:f>IF(A22="","",Premissas!$B$5)</x:f>
      </x:c>
      <x:c r="H22" s="17"/>
      <x:c r="I22" s="17"/>
      <x:c r="J22" s="27" t="str">
        <x:f>IF(A22="","",G22+H22)</x:f>
      </x:c>
      <x:c r="K22" s="28" t="str">
        <x:f>IF(A22="","",ROUND(F22*12*(1+I22),4))</x:f>
      </x:c>
      <x:c r="L22" s="28" t="str">
        <x:f>IF(A22="","",IF(J22&lt;=I22,"REVISAR",ROUND(K22/(J22-I22),2)))</x:f>
      </x:c>
      <x:c r="M22" s="27" t="str">
        <x:f>IF(OR(A22="",NOT(ISNUMBER(L22))),"",ROUND(C22/L22-1,4))</x:f>
      </x:c>
      <x:c r="N22" s="27" t="str">
        <x:f>IF(A22="","",ROUND(K22/C22+I22,4))</x:f>
      </x:c>
      <x:c r="O22" s="29" t="str">
        <x:f>IF(M22="","",IF(M22&lt;Premissas!$B$9,"DESAGIO",IF(M22&gt;Premissas!$B$10,"AGIO","PROXIMO DO JUSTO")))</x:f>
      </x:c>
      <x:c r="P22" s="16"/>
    </x:row>
    <x:row r="23">
      <x:c r="A23" s="16"/>
      <x:c r="B23" s="16"/>
      <x:c r="C23" s="24"/>
      <x:c r="D23" s="24"/>
      <x:c r="E23" s="16"/>
      <x:c r="F23" s="25" t="str">
        <x:f>IF(A23="","",ROUND(D23*E23,4))</x:f>
      </x:c>
      <x:c r="G23" s="26" t="str">
        <x:f>IF(A23="","",Premissas!$B$5)</x:f>
      </x:c>
      <x:c r="H23" s="17"/>
      <x:c r="I23" s="17"/>
      <x:c r="J23" s="27" t="str">
        <x:f>IF(A23="","",G23+H23)</x:f>
      </x:c>
      <x:c r="K23" s="28" t="str">
        <x:f>IF(A23="","",ROUND(F23*12*(1+I23),4))</x:f>
      </x:c>
      <x:c r="L23" s="28" t="str">
        <x:f>IF(A23="","",IF(J23&lt;=I23,"REVISAR",ROUND(K23/(J23-I23),2)))</x:f>
      </x:c>
      <x:c r="M23" s="27" t="str">
        <x:f>IF(OR(A23="",NOT(ISNUMBER(L23))),"",ROUND(C23/L23-1,4))</x:f>
      </x:c>
      <x:c r="N23" s="27" t="str">
        <x:f>IF(A23="","",ROUND(K23/C23+I23,4))</x:f>
      </x:c>
      <x:c r="O23" s="29" t="str">
        <x:f>IF(M23="","",IF(M23&lt;Premissas!$B$9,"DESAGIO",IF(M23&gt;Premissas!$B$10,"AGIO","PROXIMO DO JUSTO")))</x:f>
      </x:c>
      <x:c r="P23" s="16"/>
    </x:row>
    <x:row r="24">
      <x:c r="A24" s="16"/>
      <x:c r="B24" s="16"/>
      <x:c r="C24" s="24"/>
      <x:c r="D24" s="24"/>
      <x:c r="E24" s="16"/>
      <x:c r="F24" s="25" t="str">
        <x:f>IF(A24="","",ROUND(D24*E24,4))</x:f>
      </x:c>
      <x:c r="G24" s="26" t="str">
        <x:f>IF(A24="","",Premissas!$B$5)</x:f>
      </x:c>
      <x:c r="H24" s="17"/>
      <x:c r="I24" s="17"/>
      <x:c r="J24" s="27" t="str">
        <x:f>IF(A24="","",G24+H24)</x:f>
      </x:c>
      <x:c r="K24" s="28" t="str">
        <x:f>IF(A24="","",ROUND(F24*12*(1+I24),4))</x:f>
      </x:c>
      <x:c r="L24" s="28" t="str">
        <x:f>IF(A24="","",IF(J24&lt;=I24,"REVISAR",ROUND(K24/(J24-I24),2)))</x:f>
      </x:c>
      <x:c r="M24" s="27" t="str">
        <x:f>IF(OR(A24="",NOT(ISNUMBER(L24))),"",ROUND(C24/L24-1,4))</x:f>
      </x:c>
      <x:c r="N24" s="27" t="str">
        <x:f>IF(A24="","",ROUND(K24/C24+I24,4))</x:f>
      </x:c>
      <x:c r="O24" s="29" t="str">
        <x:f>IF(M24="","",IF(M24&lt;Premissas!$B$9,"DESAGIO",IF(M24&gt;Premissas!$B$10,"AGIO","PROXIMO DO JUSTO")))</x:f>
      </x:c>
      <x:c r="P24" s="16"/>
    </x:row>
  </x:sheetData>
  <x:mergeCells>
    <x:mergeCell ref="A1:P1"/>
    <x:mergeCell ref="A2:P2"/>
  </x:mergeCells>
  <x:conditionalFormatting sqref="A5:P24">
    <x:cfRule type="expression" dxfId="0" priority="1">
      <x:formula>$O5="DESAGIO"</x:formula>
    </x:cfRule>
    <x:cfRule type="expression" dxfId="1" priority="2">
      <x:formula>$O5="AGIO"</x:formula>
    </x:cfRule>
    <x:cfRule type="expression" dxfId="2" priority="3">
      <x:formula>$O5="PROXIMO DO JUSTO"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2" hidden="0" customWidth="1"/>
    <x:col min="3" max="3" width="3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s="4" t="str">
        <x:v>FII Select | Rascunho de Cartao para Instagram</x:v>
      </x:c>
    </x:row>
    <x:row r="2" ht="27" customHeight="1">
      <x:c r="A2" s="9" t="str">
        <x:v>Selecione um ticker existente na base e use o quadro como roteiro para montar a arte no Figma.</x:v>
      </x:c>
    </x:row>
    <x:row r="4">
      <x:c r="A4" s="13" t="str">
        <x:v>Selecione o ticker</x:v>
      </x:c>
      <x:c r="B4" s="31" t="str">
        <x:v>DEMO11</x:v>
      </x:c>
    </x:row>
    <x:row r="6">
      <x:c r="A6" s="20" t="str">
        <x:v>Resumo para post</x:v>
      </x:c>
      <x:c r="B6" s="20" t="str"/>
      <x:c r="C6" s="20" t="str"/>
      <x:c r="D6" s="20" t="str"/>
      <x:c r="E6" s="20" t="str"/>
      <x:c r="F6" s="20" t="str"/>
    </x:row>
    <x:row r="7">
      <x:c r="A7" s="15" t="str">
        <x:v>Ticker</x:v>
      </x:c>
      <x:c r="B7" s="15" t="str">
        <x:f>IFERROR(INDEX('Base Manual'!A5:A24,MATCH($B$4,'Base Manual'!A5:A24,0)),"Ticker nao encontrado")</x:f>
        <x:v>DEMO11</x:v>
      </x:c>
      <x:c r="D7" s="20" t="str">
        <x:v>Legenda sugerida</x:v>
      </x:c>
      <x:c r="E7" s="20" t="str"/>
      <x:c r="F7" s="20" t="str"/>
    </x:row>
    <x:row r="8" ht="23" customHeight="1">
      <x:c r="A8" s="15" t="str">
        <x:v>Segmento</x:v>
      </x:c>
      <x:c r="B8" s="15" t="str">
        <x:f>IFERROR(INDEX('Base Manual'!B5:B24,MATCH($B$4,'Base Manual'!A5:A24,0)),"")</x:f>
        <x:v>Exemplo ficticio</x:v>
      </x:c>
      <x:c r="D8" s="21" t="str">
        <x:v>Estimativa educativa baseada em renda normalizada.</x:v>
      </x:c>
      <x:c r="E8" s="21" t="str"/>
      <x:c r="F8" s="21" t="str"/>
    </x:row>
    <x:row r="9" ht="23" customHeight="1">
      <x:c r="A9" s="15" t="str">
        <x:v>Preco observado (R$/cota)</x:v>
      </x:c>
      <x:c r="B9" s="22" t="n">
        <x:f>IFERROR(INDEX('Base Manual'!C5:C24,MATCH($B$4,'Base Manual'!A5:A24,0)),"")</x:f>
        <x:v>100</x:v>
      </x:c>
      <x:c r="D9" s="21" t="str">
        <x:v>Nao basta olhar dividend yield: o premio de risco muda o valor justo.</x:v>
      </x:c>
      <x:c r="E9" s="21" t="str"/>
      <x:c r="F9" s="21" t="str"/>
    </x:row>
    <x:row r="10" ht="23" customHeight="1">
      <x:c r="A10" s="15" t="str">
        <x:v>Dividendo normalizado mensal (R$/cota)</x:v>
      </x:c>
      <x:c r="B10" s="22" t="n">
        <x:f>IFERROR(INDEX('Base Manual'!F5:F24,MATCH($B$4,'Base Manual'!A5:A24,0)),"")</x:f>
        <x:v>0.9975</x:v>
      </x:c>
      <x:c r="D10" s="21" t="str">
        <x:v>Metodo: D1 / (k - g).</x:v>
      </x:c>
      <x:c r="E10" s="21" t="str"/>
      <x:c r="F10" s="21" t="str"/>
    </x:row>
    <x:row r="11" ht="23" customHeight="1">
      <x:c r="A11" s="15" t="str">
        <x:v>Taxa de risco adicional</x:v>
      </x:c>
      <x:c r="B11" s="23" t="n">
        <x:f>IFERROR(INDEX('Base Manual'!H5:H24,MATCH($B$4,'Base Manual'!A5:A24,0)),"")</x:f>
        <x:v>0.025</x:v>
      </x:c>
      <x:c r="D11" s="21" t="str">
        <x:v>k = Selic + taxa de risco adicional do fundo.</x:v>
      </x:c>
      <x:c r="E11" s="21" t="str"/>
      <x:c r="F11" s="21" t="str"/>
    </x:row>
    <x:row r="12" ht="23" customHeight="1">
      <x:c r="A12" s="15" t="str">
        <x:v>Retorno exigido</x:v>
      </x:c>
      <x:c r="B12" s="23" t="n">
        <x:f>IFERROR(INDEX('Base Manual'!J5:J24,MATCH($B$4,'Base Manual'!A5:A24,0)),"")</x:f>
        <x:v>0.16999999999999998</x:v>
      </x:c>
      <x:c r="D12" s="21" t="str">
        <x:v>Premissas visiveis no carrossel.</x:v>
      </x:c>
      <x:c r="E12" s="21" t="str"/>
      <x:c r="F12" s="21" t="str"/>
    </x:row>
    <x:row r="13" ht="23" customHeight="1">
      <x:c r="A13" s="15" t="str">
        <x:v>Valor justo estimado (R$/cota)</x:v>
      </x:c>
      <x:c r="B13" s="22" t="n">
        <x:f>IFERROR(INDEX('Base Manual'!L5:L24,MATCH($B$4,'Base Manual'!A5:A24,0)),"")</x:f>
        <x:v>88.07</x:v>
      </x:c>
      <x:c r="D13" s="21" t="str">
        <x:v>Nao e recomendacao de compra ou venda.</x:v>
      </x:c>
      <x:c r="E13" s="21" t="str"/>
      <x:c r="F13" s="21" t="str"/>
    </x:row>
    <x:row r="14" ht="23" customHeight="1">
      <x:c r="A14" s="15" t="str">
        <x:v>Agio / (desagio)</x:v>
      </x:c>
      <x:c r="B14" s="23" t="n">
        <x:f>IFERROR(INDEX('Base Manual'!M5:M24,MATCH($B$4,'Base Manual'!A5:A24,0)),"")</x:f>
        <x:v>0.1355</x:v>
      </x:c>
      <x:c r="D14" s="21" t="str">
        <x:v>Leia relatorio gerencial e fatos relevantes.</x:v>
      </x:c>
      <x:c r="E14" s="21" t="str"/>
      <x:c r="F14" s="21" t="str"/>
    </x:row>
    <x:row r="15" ht="23" customHeight="1">
      <x:c r="A15" s="15" t="str">
        <x:v>Leitura</x:v>
      </x:c>
      <x:c r="B15" s="15" t="str">
        <x:f>IFERROR(INDEX('Base Manual'!O5:O24,MATCH($B$4,'Base Manual'!A5:A24,0)),"")</x:f>
        <x:v>AGIO</x:v>
      </x:c>
      <x:c r="D15" s="21" t="str">
        <x:v>Fonte dos dados: informe no post antes da publicacao.</x:v>
      </x:c>
      <x:c r="E15" s="21" t="str"/>
      <x:c r="F15" s="21" t="str"/>
    </x:row>
  </x:sheetData>
  <x:mergeCells>
    <x:mergeCell ref="A1:F1"/>
    <x:mergeCell ref="A2:F2"/>
    <x:mergeCell ref="A6:F6"/>
    <x:mergeCell ref="D7:F7"/>
    <x:mergeCell ref="D8:F8"/>
    <x:mergeCell ref="D9:F9"/>
    <x:mergeCell ref="D10:F10"/>
    <x:mergeCell ref="D11:F11"/>
    <x:mergeCell ref="D12:F12"/>
    <x:mergeCell ref="D13:F13"/>
    <x:mergeCell ref="D14:F14"/>
    <x:mergeCell ref="D15:F1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3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30" customHeight="1">
      <x:c r="A1" s="4" t="str">
        <x:v>FII Select | Premissas do MVP</x:v>
      </x:c>
    </x:row>
    <x:row r="2" ht="27" customHeight="1">
      <x:c r="A2" s="9" t="str">
        <x:v>Inputs editaveis em azul. Use a planilha como triagem educativa, nao como recomendacao individual.</x:v>
      </x:c>
    </x:row>
    <x:row r="4">
      <x:c r="A4" s="13" t="str">
        <x:v>Premissa</x:v>
      </x:c>
      <x:c r="B4" s="13" t="str">
        <x:v>Valor</x:v>
      </x:c>
      <x:c r="D4" s="20" t="str">
        <x:v>Como interpretar</x:v>
      </x:c>
      <x:c r="E4" s="20" t="str"/>
      <x:c r="F4" s="20" t="str"/>
    </x:row>
    <x:row r="5" ht="28" customHeight="1">
      <x:c r="A5" s="15" t="str">
        <x:v>Selic meta (% a.a.)</x:v>
      </x:c>
      <x:c r="B5" s="17" t="n">
        <x:v>0.145</x:v>
      </x:c>
      <x:c r="D5" s="21" t="str">
        <x:v>1. O dividendo normalizado reduz eventos nao recorrentes.</x:v>
      </x:c>
      <x:c r="E5" s="21" t="str"/>
      <x:c r="F5" s="21" t="str"/>
    </x:row>
    <x:row r="6" ht="28" customHeight="1">
      <x:c r="A6" s="15" t="str">
        <x:v>Taxa de risco adicional padrao (% a.a.)</x:v>
      </x:c>
      <x:c r="B6" s="17" t="n">
        <x:v>0.025</x:v>
      </x:c>
      <x:c r="D6" s="21" t="str">
        <x:v>2. k = Selic + taxa de risco adicional especifica do fundo.</x:v>
      </x:c>
      <x:c r="E6" s="21" t="str"/>
      <x:c r="F6" s="21" t="str"/>
    </x:row>
    <x:row r="7" ht="28" customHeight="1">
      <x:c r="A7" s="15" t="str">
        <x:v>Crescimento nominal padrao g (% a.a.)</x:v>
      </x:c>
      <x:c r="B7" s="17" t="n">
        <x:v>0.03</x:v>
      </x:c>
      <x:c r="D7" s="21" t="str">
        <x:v>3. g deve ser conservador e sempre menor que k.</x:v>
      </x:c>
      <x:c r="E7" s="21" t="str"/>
      <x:c r="F7" s="21" t="str"/>
    </x:row>
    <x:row r="8" ht="28" customHeight="1">
      <x:c r="A8" s="15" t="str">
        <x:v>Ajuste de recorrencia padrao</x:v>
      </x:c>
      <x:c r="B8" s="17" t="n">
        <x:v>0.95</x:v>
      </x:c>
      <x:c r="D8" s="21" t="str">
        <x:v>4. O resultado e uma faixa de triagem, nao uma promessa de retorno.</x:v>
      </x:c>
      <x:c r="E8" s="21" t="str"/>
      <x:c r="F8" s="21" t="str"/>
    </x:row>
    <x:row r="9" ht="28" customHeight="1">
      <x:c r="A9" s="15" t="str">
        <x:v>Limite desagio relevante</x:v>
      </x:c>
      <x:c r="B9" s="17" t="n">
        <x:v>-0.05</x:v>
      </x:c>
      <x:c r="D9" s="21" t="str">
        <x:v>5. Para FIIs de papel, tijolo e FoFs, use premios de risco diferentes.</x:v>
      </x:c>
      <x:c r="E9" s="21" t="str"/>
      <x:c r="F9" s="21" t="str"/>
    </x:row>
    <x:row r="10" ht="28" customHeight="1">
      <x:c r="A10" s="15" t="str">
        <x:v>Limite agio relevante</x:v>
      </x:c>
      <x:c r="B10" s="17" t="n">
        <x:v>0.05</x:v>
      </x:c>
      <x:c r="D10" s="21" t="str">
        <x:v>6. Antes de publicar, confira relatorio gerencial, fatos relevantes e fonte da cotacao.</x:v>
      </x:c>
      <x:c r="E10" s="21" t="str"/>
      <x:c r="F10" s="21" t="str"/>
    </x:row>
    <x:row r="11">
      <x:c r="A11" s="15" t="str">
        <x:v>Data-base da Selic</x:v>
      </x:c>
      <x:c r="B11" s="16" t="str">
        <x:v>30/04/2026</x:v>
      </x:c>
    </x:row>
    <x:row r="12">
      <x:c r="A12" s="15" t="str">
        <x:v>Convencao</x:v>
      </x:c>
      <x:c r="B12" s="15" t="str">
        <x:v>Valor justo = D1 / (k - g)</x:v>
      </x:c>
    </x:row>
  </x:sheetData>
  <x:mergeCells>
    <x:mergeCell ref="A1:F1"/>
    <x:mergeCell ref="A2:F2"/>
    <x:mergeCell ref="D4:F4"/>
    <x:mergeCell ref="D5:F5"/>
    <x:mergeCell ref="D6:F6"/>
    <x:mergeCell ref="D7:F7"/>
    <x:mergeCell ref="D8:F8"/>
    <x:mergeCell ref="D9:F9"/>
    <x:mergeCell ref="D10:F1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  <x:col min="6" max="6" width="47" hidden="0" customWidth="1"/>
  </x:cols>
  <x:sheetData>
    <x:row r="1" ht="30" customHeight="1">
      <x:c r="A1" s="4" t="str">
        <x:v>FII Select | Verificacoes</x:v>
      </x:c>
    </x:row>
    <x:row r="2" ht="27" customHeight="1">
      <x:c r="A2" s="9" t="str">
        <x:v>Cada linha testa um ponto basico antes de utilizar o resultado em conteudo.</x:v>
      </x:c>
    </x:row>
    <x:row r="4">
      <x:c r="A4" s="13" t="str">
        <x:v>Teste</x:v>
      </x:c>
      <x:c r="B4" s="13" t="str">
        <x:v>Status</x:v>
      </x:c>
      <x:c r="C4" s="13" t="str">
        <x:v>Atual</x:v>
      </x:c>
      <x:c r="D4" s="13" t="str">
        <x:v>Esperado</x:v>
      </x:c>
      <x:c r="E4" s="13" t="str">
        <x:v>Diferenca</x:v>
      </x:c>
      <x:c r="F4" s="13" t="str">
        <x:v>Observacao</x:v>
      </x:c>
    </x:row>
    <x:row r="5">
      <x:c r="A5" s="15" t="str">
        <x:v>Ha pelo menos um ticker preenchido</x:v>
      </x:c>
      <x:c r="B5" s="15" t="str">
        <x:f>IF(C5&gt;0,"OK","REVISAR")</x:f>
        <x:v>OK</x:v>
      </x:c>
      <x:c r="C5" s="15" t="n">
        <x:f>COUNTIF('Base Manual'!A5:A24,"&lt;&gt;")</x:f>
        <x:v>1</x:v>
      </x:c>
      <x:c r="D5" s="15" t="str">
        <x:v>&gt; 0</x:v>
      </x:c>
      <x:c r="E5" s="15"/>
      <x:c r="F5" s="15" t="str">
        <x:v>Preencha a Base Manual.</x:v>
      </x:c>
    </x:row>
    <x:row r="6">
      <x:c r="A6" s="15" t="str">
        <x:v>DEMO11: k &gt; g</x:v>
      </x:c>
      <x:c r="B6" s="15" t="str">
        <x:f>IF(C6=TRUE,"OK","REVISAR")</x:f>
        <x:v>OK</x:v>
      </x:c>
      <x:c r="C6" s="15" t="b">
        <x:f>'Base Manual'!J5&gt;'Base Manual'!I5</x:f>
        <x:v>1</x:v>
      </x:c>
      <x:c r="D6" s="15" t="str">
        <x:v>VERDADEIRO</x:v>
      </x:c>
      <x:c r="E6" s="15"/>
      <x:c r="F6" s="15" t="str">
        <x:v>Gordon nao funciona quando k &lt;= g.</x:v>
      </x:c>
    </x:row>
    <x:row r="7">
      <x:c r="A7" s="15" t="str">
        <x:v>DEMO11: valor justo positivo</x:v>
      </x:c>
      <x:c r="B7" s="15" t="str">
        <x:f>IF(C7&gt;0,"OK","REVISAR")</x:f>
        <x:v>OK</x:v>
      </x:c>
      <x:c r="C7" s="22" t="n">
        <x:f>IF(ISNUMBER('Base Manual'!L5),'Base Manual'!L5,0)</x:f>
        <x:v>88.07</x:v>
      </x:c>
      <x:c r="D7" s="15" t="str">
        <x:v>&gt; 0</x:v>
      </x:c>
      <x:c r="E7" s="15"/>
      <x:c r="F7" s="15" t="str">
        <x:v>Revise dividendos e taxas se falhar.</x:v>
      </x:c>
    </x:row>
    <x:row r="8">
      <x:c r="A8" s="15" t="str">
        <x:v>DEMO11: formula de valor justo confere</x:v>
      </x:c>
      <x:c r="B8" s="15" t="str">
        <x:f>IF(ABS(C8)&lt;0.01,"OK","REVISAR")</x:f>
        <x:v>OK</x:v>
      </x:c>
      <x:c r="C8" s="22" t="n">
        <x:f>IF(ISNUMBER('Base Manual'!L5),'Base Manual'!L5-('Base Manual'!K5/('Base Manual'!J5-'Base Manual'!I5)),999)</x:f>
        <x:v>0.004999999999981242</x:v>
      </x:c>
      <x:c r="D8" s="15" t="n">
        <x:v>0</x:v>
      </x:c>
      <x:c r="E8" s="15"/>
      <x:c r="F8" s="15" t="str">
        <x:v>Diferenca tolerada abaixo de R$ 0,01.</x:v>
      </x:c>
    </x:row>
    <x:row r="9">
      <x:c r="A9" s="15" t="str">
        <x:v>DEMO11: leitura calculada</x:v>
      </x:c>
      <x:c r="B9" s="15" t="str">
        <x:f>IF(C9&lt;&gt;"","OK","REVISAR")</x:f>
        <x:v>OK</x:v>
      </x:c>
      <x:c r="C9" s="15" t="str">
        <x:f>'Base Manual'!O5</x:f>
        <x:v>AGIO</x:v>
      </x:c>
      <x:c r="D9" s="15" t="str">
        <x:v>Preenchida</x:v>
      </x:c>
      <x:c r="E9" s="15"/>
      <x:c r="F9" s="15" t="str">
        <x:v>A leitura depende do agio/desagio.</x:v>
      </x:c>
    </x:row>
    <x:row r="10">
      <x:c r="A10" s="15" t="str">
        <x:v>STATUS GERAL</x:v>
      </x:c>
      <x:c r="B10" s="15" t="str">
        <x:f>IF(COUNTIF(B5:B9,"REVISAR")=0,"OK","REVISAR")</x:f>
        <x:v>OK</x:v>
      </x:c>
      <x:c r="C10" s="15"/>
      <x:c r="D10" s="15" t="str">
        <x:v>OK</x:v>
      </x:c>
      <x:c r="E10" s="15"/>
      <x:c r="F10" s="15" t="str">
        <x:v>Use apenas quando todos os testes estiverem OK.</x:v>
      </x:c>
    </x:row>
  </x:sheetData>
  <x:mergeCells>
    <x:mergeCell ref="A1:F1"/>
    <x:mergeCell ref="A2:F2"/>
  </x:mergeCells>
  <x:conditionalFormatting sqref="B5:B10">
    <x:cfRule type="expression" dxfId="3" priority="1">
      <x:formula>B5="OK"</x:formula>
    </x:cfRule>
    <x:cfRule type="expression" dxfId="4" priority="2">
      <x:formula>B5="REVISAR"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6" hidden="0" customWidth="1"/>
    <x:col min="3" max="3" width="27" hidden="0" customWidth="1"/>
    <x:col min="4" max="4" width="78" hidden="0" customWidth="1"/>
    <x:col min="5" max="5" width="63" hidden="0" customWidth="1"/>
  </x:cols>
  <x:sheetData>
    <x:row r="1" ht="30" customHeight="1">
      <x:c r="A1" s="4" t="str">
        <x:v>FII Select | Fontes e Notas</x:v>
      </x:c>
    </x:row>
    <x:row r="2" ht="27" customHeight="1">
      <x:c r="A2" s="9" t="str">
        <x:v>Use fontes oficiais e registre a origem dos dados antes de publicar.</x:v>
      </x:c>
    </x:row>
    <x:row r="4">
      <x:c r="A4" s="13" t="str">
        <x:v>Item</x:v>
      </x:c>
      <x:c r="B4" s="13" t="str">
        <x:v>Valor / uso</x:v>
      </x:c>
      <x:c r="C4" s="13" t="str">
        <x:v>Data-base</x:v>
      </x:c>
      <x:c r="D4" s="13" t="str">
        <x:v>Fonte</x:v>
      </x:c>
      <x:c r="E4" s="13" t="str">
        <x:v>Nota</x:v>
      </x:c>
    </x:row>
    <x:row r="5" ht="35" customHeight="1">
      <x:c r="A5" s="21" t="str">
        <x:v>Selic meta</x:v>
      </x:c>
      <x:c r="B5" s="21" t="str">
        <x:v>14,50% a.a.</x:v>
      </x:c>
      <x:c r="C5" s="21" t="str">
        <x:v>30/04/2026</x:v>
      </x:c>
      <x:c r="D5" s="21" t="str">
        <x:v>https://www.bcb.gov.br/controleinflacao/historicotaxasjuros</x:v>
      </x:c>
      <x:c r="E5" s="21" t="str">
        <x:v>Meta definida pelo Copom. Atualize quando houver nova reuniao.</x:v>
      </x:c>
    </x:row>
    <x:row r="6" ht="35" customHeight="1">
      <x:c r="A6" s="21" t="str">
        <x:v>Definicao de FII</x:v>
      </x:c>
      <x:c r="B6" s="21" t="str">
        <x:v>Referencia institucional</x:v>
      </x:c>
      <x:c r="C6" s="21" t="str">
        <x:v>Consulta em 29/05/2026</x:v>
      </x:c>
      <x:c r="D6" s="21" t="str">
        <x:v>https://www.b3.com.br/pt_br/produtos-e-servicos/negociacao/renda-variavel/fundos-de-investimento-imobiliario-fii.htm</x:v>
      </x:c>
      <x:c r="E6" s="21" t="str">
        <x:v>Pagina da B3 sobre FIIs.</x:v>
      </x:c>
    </x:row>
    <x:row r="7" ht="35" customHeight="1">
      <x:c r="A7" s="21" t="str">
        <x:v>Atividade de analista</x:v>
      </x:c>
      <x:c r="B7" s="21" t="str">
        <x:v>Cautela regulatoria</x:v>
      </x:c>
      <x:c r="C7" s="21" t="str">
        <x:v>Texto consolidado consultado em 29/05/2026</x:v>
      </x:c>
      <x:c r="D7" s="21" t="str">
        <x:v>https://conteudo.cvm.gov.br/legislacao/resolucoes/resol020.html</x:v>
      </x:c>
      <x:c r="E7" s="21" t="str">
        <x:v>A Resolucao CVM 20 disciplina a atividade de analista de valores mobiliarios.</x:v>
      </x:c>
    </x:row>
    <x:row r="8" ht="35" customHeight="1">
      <x:c r="A8" s="21" t="str">
        <x:v>Influenciadores e recomendacoes</x:v>
      </x:c>
      <x:c r="B8" s="21" t="str">
        <x:v>Cautela regulatoria</x:v>
      </x:c>
      <x:c r="C8" s="21" t="str">
        <x:v>Atualizado em 09/04/2025</x:v>
      </x:c>
      <x:c r="D8" s="21" t="str">
        <x:v>https://www.gov.br/cvm/pt-br/assuntos/noticias/2020/area-tecnica-da-cvm-esclarece-duvidas-sobre-atuacao-de-influenciadores-que-recomendam-investimentos-dddc1973876d4cc78c734b8ceeaaa740</x:v>
      </x:c>
      <x:c r="E8" s="21" t="str">
        <x:v>Avisos genericos nao afastam automaticamente eventual caracterizacao da atividade.</x:v>
      </x:c>
    </x:row>
    <x:row r="9" ht="35" customHeight="1">
      <x:c r="A9" s="21" t="str">
        <x:v>Deck original</x:v>
      </x:c>
      <x:c r="B9" s="21" t="str">
        <x:v>Posicionamento do projeto</x:v>
      </x:c>
      <x:c r="C9" s="21" t="str">
        <x:v>Arquivo fornecido pelo usuario</x:v>
      </x:c>
      <x:c r="D9" s="21" t="str">
        <x:v>FII SELECT_SLigaventutre.pdf</x:v>
      </x:c>
      <x:c r="E9" s="21" t="str">
        <x:v>Proposta: transformar dados dispersos em decisao estruturada.</x:v>
      </x:c>
    </x:row>
    <x:row r="10" ht="35" customHeight="1">
      <x:c r="A10" s="21" t="str">
        <x:v>Dados por fundo</x:v>
      </x:c>
      <x:c r="B10" s="21" t="str">
        <x:v>Preencher manualmente no MVP</x:v>
      </x:c>
      <x:c r="C10" s="21" t="str">
        <x:v>Atualizar antes de cada post</x:v>
      </x:c>
      <x:c r="D10" s="21" t="str">
        <x:v>Relatorio gerencial, fatos relevantes e fonte da cotacao</x:v>
      </x:c>
      <x:c r="E10" s="21" t="str">
        <x:v>Registre a fonte exata na coluna Fonte / nota da Base Manual.</x:v>
      </x:c>
    </x:row>
    <x:row r="11" ht="35" customHeight="1">
      <x:c r="A11" s="21" t="str">
        <x:v>Informes mensais de FII</x:v>
      </x:c>
      <x:c r="B11" s="21" t="str">
        <x:v>Dados abertos para automacao futura</x:v>
      </x:c>
      <x:c r="C11" s="21" t="str">
        <x:v>Atualizacao semanal</x:v>
      </x:c>
      <x:c r="D11" s="21" t="str">
        <x:v>https://dados.cvm.gov.br/dataset/fii-doc-inf_mensal</x:v>
      </x:c>
      <x:c r="E11" s="21" t="str">
        <x:v>Base oficial para documentos estruturados. Nao substitui uma fonte de cotacao de mercado.</x:v>
      </x:c>
    </x:row>
  </x:sheetData>
  <x:mergeCells>
    <x:mergeCell ref="A1:E1"/>
    <x:mergeCell ref="A2:E2"/>
  </x:mergeCells>
  <x:pageMargins left="0.7" right="0.7" top="0.75" bottom="0.75" header="0.3" footer="0.3"/>
</x:worksheet>
</file>